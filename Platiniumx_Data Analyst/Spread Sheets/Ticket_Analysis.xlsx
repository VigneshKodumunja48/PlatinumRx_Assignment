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\Downloads\Platiniumx_Data Analyst\Spread Sheets\"/>
    </mc:Choice>
  </mc:AlternateContent>
  <xr:revisionPtr revIDLastSave="0" documentId="13_ncr:1_{98AA5EA9-EACE-4C52-946F-270792F253D0}" xr6:coauthVersionLast="47" xr6:coauthVersionMax="47" xr10:uidLastSave="{00000000-0000-0000-0000-000000000000}"/>
  <bookViews>
    <workbookView xWindow="1116" yWindow="1116" windowWidth="17280" windowHeight="8880" activeTab="1" xr2:uid="{CBB14078-2E68-4239-9636-6DE7BCB0402A}"/>
  </bookViews>
  <sheets>
    <sheet name="Tickets" sheetId="1" r:id="rId1"/>
    <sheet name="Feedbac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H2" i="1"/>
  <c r="I2" i="1"/>
  <c r="D3" i="2"/>
  <c r="D4" i="2"/>
  <c r="D5" i="2"/>
  <c r="D6" i="2"/>
  <c r="D2" i="2"/>
  <c r="I3" i="1"/>
  <c r="I4" i="1"/>
  <c r="I5" i="1"/>
  <c r="I6" i="1"/>
  <c r="H3" i="1"/>
  <c r="H4" i="1"/>
  <c r="H5" i="1"/>
  <c r="H6" i="1"/>
  <c r="G3" i="1"/>
  <c r="G4" i="1"/>
  <c r="G5" i="1"/>
  <c r="G6" i="1"/>
</calcChain>
</file>

<file path=xl/sharedStrings.xml><?xml version="1.0" encoding="utf-8"?>
<sst xmlns="http://schemas.openxmlformats.org/spreadsheetml/2006/main" count="38" uniqueCount="24">
  <si>
    <t>ticket_id</t>
  </si>
  <si>
    <t>created_at</t>
  </si>
  <si>
    <t>closed_at</t>
  </si>
  <si>
    <t>outlet_id</t>
  </si>
  <si>
    <t>cms_id</t>
  </si>
  <si>
    <t>t1</t>
  </si>
  <si>
    <t>o1</t>
  </si>
  <si>
    <t>c1</t>
  </si>
  <si>
    <t>t2</t>
  </si>
  <si>
    <t>o2</t>
  </si>
  <si>
    <t>c2</t>
  </si>
  <si>
    <t>t3</t>
  </si>
  <si>
    <t>c3</t>
  </si>
  <si>
    <t>t4</t>
  </si>
  <si>
    <t>o3</t>
  </si>
  <si>
    <t>c4</t>
  </si>
  <si>
    <t>t5</t>
  </si>
  <si>
    <t>c5</t>
  </si>
  <si>
    <t>feedback_at</t>
  </si>
  <si>
    <t>feedback_rating</t>
  </si>
  <si>
    <t>Same_Day</t>
  </si>
  <si>
    <t>Same_hour</t>
  </si>
  <si>
    <t>Count per Outlet</t>
  </si>
  <si>
    <t>Tickets_created_at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</si>
</sst>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22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2" fontId="1" fillId="0" borderId="0" xfId="0" applyNumberFormat="1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7299-471A-4767-A226-EDED699E08BF}">
  <dimension ref="A1:I8"/>
  <sheetViews>
    <sheetView workbookViewId="0">
      <selection activeCell="H14" sqref="H14"/>
    </sheetView>
  </sheetViews>
  <sheetFormatPr defaultRowHeight="14.4" x14ac:dyDescent="0.3"/>
  <cols>
    <col min="2" max="2" width="21.5546875" style="6" customWidth="1"/>
    <col min="3" max="3" width="16.6640625" customWidth="1"/>
    <col min="7" max="7" width="12.21875" customWidth="1"/>
    <col min="8" max="8" width="11.6640625" customWidth="1"/>
    <col min="9" max="9" width="15.109375" bestFit="1" customWidth="1"/>
  </cols>
  <sheetData>
    <row r="1" spans="1:9" ht="21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0</v>
      </c>
      <c r="G1" s="9" t="s">
        <v>20</v>
      </c>
      <c r="H1" s="9" t="s">
        <v>21</v>
      </c>
      <c r="I1" s="9" t="s">
        <v>22</v>
      </c>
    </row>
    <row r="2" spans="1:9" x14ac:dyDescent="0.3">
      <c r="A2" s="10" t="s">
        <v>5</v>
      </c>
      <c r="B2" s="11">
        <v>44427.697916666664</v>
      </c>
      <c r="C2" s="11">
        <v>44427.75</v>
      </c>
      <c r="D2" s="10" t="s">
        <v>6</v>
      </c>
      <c r="E2" s="10" t="s">
        <v>7</v>
      </c>
      <c r="F2" s="10" t="s">
        <v>5</v>
      </c>
      <c r="G2" s="12" t="str">
        <f>IF(INT(B2)=INT(C2),"Yes","No")</f>
        <v>Yes</v>
      </c>
      <c r="H2" s="12" t="str">
        <f>IF(HOUR(B2)=HOUR(C2),"Yes","No")</f>
        <v>No</v>
      </c>
      <c r="I2" s="13">
        <f>COUNTIFS(D:D,"o1",G:G,"Yes")</f>
        <v>2</v>
      </c>
    </row>
    <row r="3" spans="1:9" x14ac:dyDescent="0.3">
      <c r="A3" s="10" t="s">
        <v>8</v>
      </c>
      <c r="B3" s="11">
        <v>44429.458333333336</v>
      </c>
      <c r="C3" s="11">
        <v>44430.5</v>
      </c>
      <c r="D3" s="10" t="s">
        <v>9</v>
      </c>
      <c r="E3" s="10" t="s">
        <v>10</v>
      </c>
      <c r="F3" s="10" t="s">
        <v>8</v>
      </c>
      <c r="G3" s="12" t="str">
        <f t="shared" ref="G3:G6" si="0">IF(INT(B3)=INT(C3),"Yes","No")</f>
        <v>No</v>
      </c>
      <c r="H3" s="12" t="str">
        <f t="shared" ref="H3:H6" si="1">IF(HOUR(B3)=HOUR(C3),"Yes","No")</f>
        <v>No</v>
      </c>
      <c r="I3" s="13">
        <f t="shared" ref="I3:I6" si="2">COUNTIFS(D:D,"o1",G:G,"Yes")</f>
        <v>2</v>
      </c>
    </row>
    <row r="4" spans="1:9" x14ac:dyDescent="0.3">
      <c r="A4" s="10" t="s">
        <v>11</v>
      </c>
      <c r="B4" s="11">
        <v>44429.541666666664</v>
      </c>
      <c r="C4" s="11">
        <v>44429.5625</v>
      </c>
      <c r="D4" s="10" t="s">
        <v>6</v>
      </c>
      <c r="E4" s="10" t="s">
        <v>12</v>
      </c>
      <c r="F4" s="10" t="s">
        <v>11</v>
      </c>
      <c r="G4" s="12" t="str">
        <f t="shared" si="0"/>
        <v>Yes</v>
      </c>
      <c r="H4" s="12" t="str">
        <f t="shared" si="1"/>
        <v>Yes</v>
      </c>
      <c r="I4" s="13">
        <f t="shared" si="2"/>
        <v>2</v>
      </c>
    </row>
    <row r="5" spans="1:9" x14ac:dyDescent="0.3">
      <c r="A5" s="10" t="s">
        <v>13</v>
      </c>
      <c r="B5" s="11">
        <v>44430.375</v>
      </c>
      <c r="C5" s="11">
        <v>44430.416666666664</v>
      </c>
      <c r="D5" s="10" t="s">
        <v>14</v>
      </c>
      <c r="E5" s="10" t="s">
        <v>15</v>
      </c>
      <c r="F5" s="10" t="s">
        <v>13</v>
      </c>
      <c r="G5" s="12" t="str">
        <f t="shared" si="0"/>
        <v>Yes</v>
      </c>
      <c r="H5" s="12" t="str">
        <f t="shared" si="1"/>
        <v>No</v>
      </c>
      <c r="I5" s="13">
        <f t="shared" si="2"/>
        <v>2</v>
      </c>
    </row>
    <row r="6" spans="1:9" x14ac:dyDescent="0.3">
      <c r="A6" s="10" t="s">
        <v>16</v>
      </c>
      <c r="B6" s="11">
        <v>44431.583333333336</v>
      </c>
      <c r="C6" s="11">
        <v>44431.666666666664</v>
      </c>
      <c r="D6" s="10" t="s">
        <v>9</v>
      </c>
      <c r="E6" s="10" t="s">
        <v>17</v>
      </c>
      <c r="F6" s="10" t="s">
        <v>16</v>
      </c>
      <c r="G6" s="12" t="str">
        <f t="shared" si="0"/>
        <v>Yes</v>
      </c>
      <c r="H6" s="12" t="str">
        <f t="shared" si="1"/>
        <v>No</v>
      </c>
      <c r="I6" s="13">
        <f t="shared" si="2"/>
        <v>2</v>
      </c>
    </row>
    <row r="7" spans="1:9" x14ac:dyDescent="0.3">
      <c r="A7" s="1"/>
      <c r="B7" s="4"/>
      <c r="C7" s="1"/>
      <c r="D7" s="1"/>
      <c r="E7" s="1"/>
      <c r="F7" s="1"/>
    </row>
    <row r="8" spans="1:9" x14ac:dyDescent="0.3">
      <c r="A8" s="2"/>
      <c r="B8" s="5"/>
      <c r="C8" s="3"/>
      <c r="D8" s="2"/>
      <c r="E8" s="2"/>
      <c r="F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2DF1-DC6C-4BD2-9971-9166A9599FF1}">
  <dimension ref="A1:D6"/>
  <sheetViews>
    <sheetView tabSelected="1" workbookViewId="0">
      <selection activeCell="D9" sqref="D9"/>
    </sheetView>
  </sheetViews>
  <sheetFormatPr defaultRowHeight="14.4" x14ac:dyDescent="0.3"/>
  <cols>
    <col min="2" max="2" width="16.109375" customWidth="1"/>
    <col min="3" max="3" width="14.77734375" customWidth="1"/>
    <col min="4" max="4" width="22.77734375" style="8" customWidth="1"/>
  </cols>
  <sheetData>
    <row r="1" spans="1:4" x14ac:dyDescent="0.3">
      <c r="A1" s="14" t="s">
        <v>4</v>
      </c>
      <c r="B1" s="14" t="s">
        <v>18</v>
      </c>
      <c r="C1" s="14" t="s">
        <v>19</v>
      </c>
      <c r="D1" s="15" t="s">
        <v>23</v>
      </c>
    </row>
    <row r="2" spans="1:4" x14ac:dyDescent="0.3">
      <c r="A2" s="2" t="s">
        <v>7</v>
      </c>
      <c r="B2" s="3">
        <v>44427.708333333336</v>
      </c>
      <c r="C2" s="2">
        <v>4</v>
      </c>
      <c r="D2" s="7">
        <f>INDEX(Tickets!B:B, MATCH(A2, Tickets!E:E, 0))</f>
        <v>44427.697916666664</v>
      </c>
    </row>
    <row r="3" spans="1:4" x14ac:dyDescent="0.3">
      <c r="A3" s="2" t="s">
        <v>10</v>
      </c>
      <c r="B3" s="3">
        <v>44430.541666666664</v>
      </c>
      <c r="C3" s="2">
        <v>3</v>
      </c>
      <c r="D3" s="7">
        <f>INDEX(Tickets!B:B, MATCH(A3, Tickets!E:E, 0))</f>
        <v>44429.458333333336</v>
      </c>
    </row>
    <row r="4" spans="1:4" x14ac:dyDescent="0.3">
      <c r="A4" s="2" t="s">
        <v>12</v>
      </c>
      <c r="B4" s="3">
        <v>44429.583333333336</v>
      </c>
      <c r="C4" s="2">
        <v>5</v>
      </c>
      <c r="D4" s="7">
        <f>INDEX(Tickets!B:B, MATCH(A4, Tickets!E:E, 0))</f>
        <v>44429.541666666664</v>
      </c>
    </row>
    <row r="5" spans="1:4" x14ac:dyDescent="0.3">
      <c r="A5" s="2" t="s">
        <v>15</v>
      </c>
      <c r="B5" s="3">
        <v>44430.458333333336</v>
      </c>
      <c r="C5" s="2">
        <v>2</v>
      </c>
      <c r="D5" s="7">
        <f>INDEX(Tickets!B:B, MATCH(A5, Tickets!E:E, 0))</f>
        <v>44430.375</v>
      </c>
    </row>
    <row r="6" spans="1:4" x14ac:dyDescent="0.3">
      <c r="A6" s="2" t="s">
        <v>17</v>
      </c>
      <c r="B6" s="3">
        <v>44431.708333333336</v>
      </c>
      <c r="C6" s="2">
        <v>4</v>
      </c>
      <c r="D6" s="7">
        <f>INDEX(Tickets!B:B, MATCH(A6, Tickets!E:E, 0))</f>
        <v>44431.583333333336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Kodumunja</dc:creator>
  <cp:lastModifiedBy>Vignesh Kodumunja</cp:lastModifiedBy>
  <dcterms:created xsi:type="dcterms:W3CDTF">2026-04-08T11:12:07Z</dcterms:created>
  <dcterms:modified xsi:type="dcterms:W3CDTF">2026-04-08T12:14:49Z</dcterms:modified>
</cp:coreProperties>
</file>